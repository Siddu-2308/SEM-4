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hi\Desktop\Sem 4 Courses\Probability\Assignment 1\"/>
    </mc:Choice>
  </mc:AlternateContent>
  <xr:revisionPtr revIDLastSave="0" documentId="13_ncr:1_{F0108CB3-03DD-4B37-9495-7732972D11D5}" xr6:coauthVersionLast="47" xr6:coauthVersionMax="47" xr10:uidLastSave="{00000000-0000-0000-0000-000000000000}"/>
  <bookViews>
    <workbookView xWindow="-108" yWindow="-108" windowWidth="23256" windowHeight="12456" xr2:uid="{E9A99998-1A1E-4008-8547-F6A71D62D645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" i="1" l="1"/>
  <c r="C65" i="1"/>
  <c r="D62" i="1"/>
  <c r="E62" i="1"/>
  <c r="C62" i="1"/>
  <c r="D61" i="1"/>
  <c r="E61" i="1"/>
  <c r="C61" i="1"/>
  <c r="D59" i="1"/>
  <c r="E59" i="1"/>
  <c r="C59" i="1"/>
  <c r="E56" i="1"/>
  <c r="D56" i="1"/>
  <c r="C56" i="1"/>
  <c r="D54" i="1"/>
  <c r="D55" i="1" s="1"/>
  <c r="E54" i="1"/>
  <c r="E55" i="1" s="1"/>
  <c r="C54" i="1"/>
  <c r="C55" i="1" s="1"/>
</calcChain>
</file>

<file path=xl/sharedStrings.xml><?xml version="1.0" encoding="utf-8"?>
<sst xmlns="http://schemas.openxmlformats.org/spreadsheetml/2006/main" count="70" uniqueCount="70">
  <si>
    <t>#</t>
  </si>
  <si>
    <t>City</t>
  </si>
  <si>
    <t>Population</t>
  </si>
  <si>
    <t>Sex ratio</t>
  </si>
  <si>
    <t>Literacy</t>
  </si>
  <si>
    <t>Mumbai</t>
  </si>
  <si>
    <t>Delhi</t>
  </si>
  <si>
    <t>Bangalore</t>
  </si>
  <si>
    <t>Hyderabad</t>
  </si>
  <si>
    <t>Ahmedabad</t>
  </si>
  <si>
    <t>Chennai</t>
  </si>
  <si>
    <t>Kolkata</t>
  </si>
  <si>
    <t>Surat</t>
  </si>
  <si>
    <t>Pune</t>
  </si>
  <si>
    <t>Jaipur</t>
  </si>
  <si>
    <t>Lucknow</t>
  </si>
  <si>
    <t>Kanpur</t>
  </si>
  <si>
    <t>Nagpur</t>
  </si>
  <si>
    <t>Indore</t>
  </si>
  <si>
    <t>Thane</t>
  </si>
  <si>
    <t>Bhopal</t>
  </si>
  <si>
    <t>Visakhapatnam</t>
  </si>
  <si>
    <t>Pimpri and Chinchwad</t>
  </si>
  <si>
    <t>Patna</t>
  </si>
  <si>
    <t>Vadodara</t>
  </si>
  <si>
    <t>Ghaziabad</t>
  </si>
  <si>
    <t>Ludhiana</t>
  </si>
  <si>
    <t>Agra</t>
  </si>
  <si>
    <t>Nashik</t>
  </si>
  <si>
    <t>Faridabad</t>
  </si>
  <si>
    <t>Meerut</t>
  </si>
  <si>
    <t>Rajkot</t>
  </si>
  <si>
    <t>Kalyan and Dombivali</t>
  </si>
  <si>
    <t>Vasai Virar</t>
  </si>
  <si>
    <t>Varanasi</t>
  </si>
  <si>
    <t>Srinagar</t>
  </si>
  <si>
    <t>Aurangabad</t>
  </si>
  <si>
    <t>Dhanbad</t>
  </si>
  <si>
    <t>Amritsar</t>
  </si>
  <si>
    <t>Navi Mumbai</t>
  </si>
  <si>
    <t>Allahabad</t>
  </si>
  <si>
    <t>Haora</t>
  </si>
  <si>
    <t>Ranchi</t>
  </si>
  <si>
    <t>Gwalior</t>
  </si>
  <si>
    <t>Jabalpur</t>
  </si>
  <si>
    <t>Coimbatore</t>
  </si>
  <si>
    <t>Vijayawada</t>
  </si>
  <si>
    <t>Jodhpur</t>
  </si>
  <si>
    <t>Madurai</t>
  </si>
  <si>
    <t>Raipur</t>
  </si>
  <si>
    <t>Kota</t>
  </si>
  <si>
    <t>Chandigarh</t>
  </si>
  <si>
    <t>Guwahati</t>
  </si>
  <si>
    <t>Solapur</t>
  </si>
  <si>
    <t>Hubli and Dharwad</t>
  </si>
  <si>
    <t>Total</t>
  </si>
  <si>
    <t>Mean</t>
  </si>
  <si>
    <t>Median</t>
  </si>
  <si>
    <t>Mode</t>
  </si>
  <si>
    <t>All</t>
  </si>
  <si>
    <t>908 and 921</t>
  </si>
  <si>
    <t>82.8 and 88.71</t>
  </si>
  <si>
    <t>SV</t>
  </si>
  <si>
    <t>SD</t>
  </si>
  <si>
    <t>N(Sk)</t>
  </si>
  <si>
    <t>N(Sk)/n</t>
  </si>
  <si>
    <t>1-((n-1)/nk^2)</t>
  </si>
  <si>
    <t>1-1/k^2</t>
  </si>
  <si>
    <t>r(pop, sr)</t>
  </si>
  <si>
    <t>r(ltr, sr)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</si>
</sst>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.5"/>
      <color rgb="FFFFFFFF"/>
      <name val="Arial"/>
      <family val="2"/>
    </font>
    <font>
      <sz val="10.5"/>
      <color rgb="FF666666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B5696"/>
        <bgColor indexed="64"/>
      </patternFill>
    </fill>
    <fill>
      <patternFill patternType="solid">
        <fgColor rgb="FFE9E9E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 style="thick">
        <color rgb="FFE9E9E9"/>
      </right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E9E9E9"/>
      </right>
      <top/>
      <bottom style="medium">
        <color rgb="FFDDDDDD"/>
      </bottom>
      <diagonal/>
    </border>
    <border>
      <left/>
      <right/>
      <top/>
      <bottom style="medium">
        <color rgb="FFE9E9E9"/>
      </bottom>
      <diagonal/>
    </border>
    <border>
      <left/>
      <right/>
      <top/>
      <bottom style="medium">
        <color rgb="FFF7F7F7"/>
      </bottom>
      <diagonal/>
    </border>
    <border>
      <left/>
      <right style="medium">
        <color rgb="FFE9E9E9"/>
      </right>
      <top/>
      <bottom style="medium">
        <color rgb="FFE9E9E9"/>
      </bottom>
      <diagonal/>
    </border>
    <border>
      <left/>
      <right style="thick">
        <color rgb="FFE9E9E9"/>
      </right>
      <top style="thick">
        <color rgb="FFDDDDDD"/>
      </top>
      <bottom style="medium">
        <color rgb="FFDDDDDD"/>
      </bottom>
      <diagonal/>
    </border>
    <border>
      <left/>
      <right/>
      <top style="thick">
        <color rgb="FFDDDDDD"/>
      </top>
      <bottom style="medium">
        <color rgb="FFDDDDDD"/>
      </bottom>
      <diagonal/>
    </border>
    <border>
      <left/>
      <right style="medium">
        <color rgb="FFE9E9E9"/>
      </right>
      <top style="thick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 indent="1"/>
    </xf>
    <xf numFmtId="0" fontId="4" fillId="3" borderId="3" xfId="1" applyFill="1" applyBorder="1" applyAlignment="1">
      <alignment horizontal="left" vertical="center" wrapText="1" indent="2"/>
    </xf>
    <xf numFmtId="3" fontId="0" fillId="0" borderId="0" xfId="0" applyNumberFormat="1"/>
    <xf numFmtId="0" fontId="3" fillId="0" borderId="3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4" fillId="3" borderId="6" xfId="1" applyFill="1" applyBorder="1" applyAlignment="1">
      <alignment horizontal="left" vertical="center" wrapText="1" indent="2"/>
    </xf>
    <xf numFmtId="0" fontId="3" fillId="0" borderId="8" xfId="0" applyFont="1" applyBorder="1" applyAlignment="1">
      <alignment horizontal="left" vertical="center" wrapText="1" indent="1"/>
    </xf>
    <xf numFmtId="0" fontId="4" fillId="3" borderId="9" xfId="1" applyFill="1" applyBorder="1" applyAlignment="1">
      <alignment horizontal="left" vertical="center" wrapText="1" indent="2"/>
    </xf>
    <xf numFmtId="0" fontId="1" fillId="0" borderId="0" xfId="0" applyFont="1" applyAlignment="1">
      <alignment vertical="center"/>
    </xf>
    <xf numFmtId="4" fontId="0" fillId="0" borderId="0" xfId="0" applyNumberFormat="1"/>
    <xf numFmtId="4" fontId="3" fillId="0" borderId="4" xfId="0" applyNumberFormat="1" applyFont="1" applyBorder="1" applyAlignment="1">
      <alignment horizontal="right" vertical="center" wrapText="1"/>
    </xf>
    <xf numFmtId="4" fontId="3" fillId="0" borderId="4" xfId="0" applyNumberFormat="1" applyFont="1" applyBorder="1" applyAlignment="1">
      <alignment horizontal="center" vertical="center" wrapText="1"/>
    </xf>
    <xf numFmtId="4" fontId="3" fillId="0" borderId="7" xfId="0" applyNumberFormat="1" applyFont="1" applyBorder="1" applyAlignment="1">
      <alignment horizontal="right" vertical="center" wrapText="1"/>
    </xf>
    <xf numFmtId="4" fontId="3" fillId="0" borderId="7" xfId="0" applyNumberFormat="1" applyFont="1" applyBorder="1" applyAlignment="1">
      <alignment horizontal="center" vertical="center" wrapText="1"/>
    </xf>
    <xf numFmtId="4" fontId="3" fillId="0" borderId="10" xfId="0" applyNumberFormat="1" applyFont="1" applyBorder="1" applyAlignment="1">
      <alignment horizontal="right" vertical="center" wrapText="1"/>
    </xf>
    <xf numFmtId="4" fontId="3" fillId="0" borderId="10" xfId="0" applyNumberFormat="1" applyFont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right" vertical="center" wrapText="1" indent="3"/>
    </xf>
    <xf numFmtId="4" fontId="3" fillId="0" borderId="7" xfId="0" applyNumberFormat="1" applyFont="1" applyBorder="1" applyAlignment="1">
      <alignment horizontal="right" vertical="center" wrapText="1" indent="3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ensus2011.co.in/census/city/353-nagpur.html" TargetMode="External"/><Relationship Id="rId18" Type="http://schemas.openxmlformats.org/officeDocument/2006/relationships/hyperlink" Target="https://www.census2011.co.in/census/city/376-pimpri-and-chinchwad.html" TargetMode="External"/><Relationship Id="rId26" Type="http://schemas.openxmlformats.org/officeDocument/2006/relationships/hyperlink" Target="https://www.census2011.co.in/census/city/101-meerut.html" TargetMode="External"/><Relationship Id="rId39" Type="http://schemas.openxmlformats.org/officeDocument/2006/relationships/hyperlink" Target="https://www.census2011.co.in/census/city/284-gwalior.html" TargetMode="External"/><Relationship Id="rId21" Type="http://schemas.openxmlformats.org/officeDocument/2006/relationships/hyperlink" Target="https://www.census2011.co.in/census/city/105-ghaziabad.html" TargetMode="External"/><Relationship Id="rId34" Type="http://schemas.openxmlformats.org/officeDocument/2006/relationships/hyperlink" Target="https://www.census2011.co.in/census/city/18-amritsar.html" TargetMode="External"/><Relationship Id="rId42" Type="http://schemas.openxmlformats.org/officeDocument/2006/relationships/hyperlink" Target="https://www.census2011.co.in/census/city/408-vijayawada.html" TargetMode="External"/><Relationship Id="rId47" Type="http://schemas.openxmlformats.org/officeDocument/2006/relationships/hyperlink" Target="https://www.census2011.co.in/census/city/22-chandigarh.html" TargetMode="External"/><Relationship Id="rId50" Type="http://schemas.openxmlformats.org/officeDocument/2006/relationships/hyperlink" Target="https://www.census2011.co.in/census/city/437-hubli-and-dharwad-.html" TargetMode="External"/><Relationship Id="rId7" Type="http://schemas.openxmlformats.org/officeDocument/2006/relationships/hyperlink" Target="https://www.census2011.co.in/census/city/215-kolkata.html" TargetMode="External"/><Relationship Id="rId2" Type="http://schemas.openxmlformats.org/officeDocument/2006/relationships/hyperlink" Target="https://www.census2011.co.in/census/city/49-delhi.html" TargetMode="External"/><Relationship Id="rId16" Type="http://schemas.openxmlformats.org/officeDocument/2006/relationships/hyperlink" Target="https://www.census2011.co.in/census/city/302-bhopal.html" TargetMode="External"/><Relationship Id="rId29" Type="http://schemas.openxmlformats.org/officeDocument/2006/relationships/hyperlink" Target="https://www.census2011.co.in/census/city/363-vasai-virar.html" TargetMode="External"/><Relationship Id="rId11" Type="http://schemas.openxmlformats.org/officeDocument/2006/relationships/hyperlink" Target="https://www.census2011.co.in/census/city/127-lucknow.html" TargetMode="External"/><Relationship Id="rId24" Type="http://schemas.openxmlformats.org/officeDocument/2006/relationships/hyperlink" Target="https://www.census2011.co.in/census/city/361-nashik.html" TargetMode="External"/><Relationship Id="rId32" Type="http://schemas.openxmlformats.org/officeDocument/2006/relationships/hyperlink" Target="https://www.census2011.co.in/census/city/360-aurangabad.html" TargetMode="External"/><Relationship Id="rId37" Type="http://schemas.openxmlformats.org/officeDocument/2006/relationships/hyperlink" Target="https://www.census2011.co.in/census/city/246-haora.html" TargetMode="External"/><Relationship Id="rId40" Type="http://schemas.openxmlformats.org/officeDocument/2006/relationships/hyperlink" Target="https://www.census2011.co.in/census/city/307-jabalpur.html" TargetMode="External"/><Relationship Id="rId45" Type="http://schemas.openxmlformats.org/officeDocument/2006/relationships/hyperlink" Target="https://www.census2011.co.in/census/city/280-raipur.html" TargetMode="External"/><Relationship Id="rId5" Type="http://schemas.openxmlformats.org/officeDocument/2006/relationships/hyperlink" Target="https://www.census2011.co.in/census/city/314-ahmedabad.html" TargetMode="External"/><Relationship Id="rId15" Type="http://schemas.openxmlformats.org/officeDocument/2006/relationships/hyperlink" Target="https://www.census2011.co.in/census/city/367-thane.html" TargetMode="External"/><Relationship Id="rId23" Type="http://schemas.openxmlformats.org/officeDocument/2006/relationships/hyperlink" Target="https://www.census2011.co.in/census/city/115-agra.html" TargetMode="External"/><Relationship Id="rId28" Type="http://schemas.openxmlformats.org/officeDocument/2006/relationships/hyperlink" Target="https://www.census2011.co.in/census/city/369-kalyan-and-dombivali.html" TargetMode="External"/><Relationship Id="rId36" Type="http://schemas.openxmlformats.org/officeDocument/2006/relationships/hyperlink" Target="https://www.census2011.co.in/census/city/138-allahabad.html" TargetMode="External"/><Relationship Id="rId49" Type="http://schemas.openxmlformats.org/officeDocument/2006/relationships/hyperlink" Target="https://www.census2011.co.in/census/city/383-solapur.html" TargetMode="External"/><Relationship Id="rId10" Type="http://schemas.openxmlformats.org/officeDocument/2006/relationships/hyperlink" Target="https://www.census2011.co.in/census/city/77-jaipur.html" TargetMode="External"/><Relationship Id="rId19" Type="http://schemas.openxmlformats.org/officeDocument/2006/relationships/hyperlink" Target="https://www.census2011.co.in/census/city/174-patna.html" TargetMode="External"/><Relationship Id="rId31" Type="http://schemas.openxmlformats.org/officeDocument/2006/relationships/hyperlink" Target="https://www.census2011.co.in/census/city/1-srinagar.html" TargetMode="External"/><Relationship Id="rId44" Type="http://schemas.openxmlformats.org/officeDocument/2006/relationships/hyperlink" Target="https://www.census2011.co.in/census/city/486-madurai.html" TargetMode="External"/><Relationship Id="rId4" Type="http://schemas.openxmlformats.org/officeDocument/2006/relationships/hyperlink" Target="https://www.census2011.co.in/census/city/392-hyderabad.html" TargetMode="External"/><Relationship Id="rId9" Type="http://schemas.openxmlformats.org/officeDocument/2006/relationships/hyperlink" Target="https://www.census2011.co.in/census/city/375-pune.html" TargetMode="External"/><Relationship Id="rId14" Type="http://schemas.openxmlformats.org/officeDocument/2006/relationships/hyperlink" Target="https://www.census2011.co.in/census/city/299-indore.html" TargetMode="External"/><Relationship Id="rId22" Type="http://schemas.openxmlformats.org/officeDocument/2006/relationships/hyperlink" Target="https://www.census2011.co.in/census/city/11-ludhiana.html" TargetMode="External"/><Relationship Id="rId27" Type="http://schemas.openxmlformats.org/officeDocument/2006/relationships/hyperlink" Target="https://www.census2011.co.in/census/city/325-rajkot.html" TargetMode="External"/><Relationship Id="rId30" Type="http://schemas.openxmlformats.org/officeDocument/2006/relationships/hyperlink" Target="https://www.census2011.co.in/census/city/153-varanasi.html" TargetMode="External"/><Relationship Id="rId35" Type="http://schemas.openxmlformats.org/officeDocument/2006/relationships/hyperlink" Target="https://www.census2011.co.in/census/city/368-navi-mumbai.html" TargetMode="External"/><Relationship Id="rId43" Type="http://schemas.openxmlformats.org/officeDocument/2006/relationships/hyperlink" Target="https://www.census2011.co.in/census/city/80-jodhpur.html" TargetMode="External"/><Relationship Id="rId48" Type="http://schemas.openxmlformats.org/officeDocument/2006/relationships/hyperlink" Target="https://www.census2011.co.in/census/city/191-guwahati.html" TargetMode="External"/><Relationship Id="rId8" Type="http://schemas.openxmlformats.org/officeDocument/2006/relationships/hyperlink" Target="https://www.census2011.co.in/census/city/343-surat.html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https://www.census2011.co.in/census/city/448-bangalore.html" TargetMode="External"/><Relationship Id="rId12" Type="http://schemas.openxmlformats.org/officeDocument/2006/relationships/hyperlink" Target="https://www.census2011.co.in/census/city/131-kanpur.html" TargetMode="External"/><Relationship Id="rId17" Type="http://schemas.openxmlformats.org/officeDocument/2006/relationships/hyperlink" Target="https://www.census2011.co.in/census/city/402-visakhapatnam.html" TargetMode="External"/><Relationship Id="rId25" Type="http://schemas.openxmlformats.org/officeDocument/2006/relationships/hyperlink" Target="https://www.census2011.co.in/census/city/47-faridabad.html" TargetMode="External"/><Relationship Id="rId33" Type="http://schemas.openxmlformats.org/officeDocument/2006/relationships/hyperlink" Target="https://www.census2011.co.in/census/city/255-dhanbad.html" TargetMode="External"/><Relationship Id="rId38" Type="http://schemas.openxmlformats.org/officeDocument/2006/relationships/hyperlink" Target="https://www.census2011.co.in/census/city/261-ranchi.html" TargetMode="External"/><Relationship Id="rId46" Type="http://schemas.openxmlformats.org/officeDocument/2006/relationships/hyperlink" Target="https://www.census2011.co.in/census/city/90-kota.html" TargetMode="External"/><Relationship Id="rId20" Type="http://schemas.openxmlformats.org/officeDocument/2006/relationships/hyperlink" Target="https://www.census2011.co.in/census/city/338-vadodara.html" TargetMode="External"/><Relationship Id="rId41" Type="http://schemas.openxmlformats.org/officeDocument/2006/relationships/hyperlink" Target="https://www.census2011.co.in/census/city/492-coimbatore.html" TargetMode="External"/><Relationship Id="rId1" Type="http://schemas.openxmlformats.org/officeDocument/2006/relationships/hyperlink" Target="https://www.census2011.co.in/census/city/365-mumbai.html" TargetMode="External"/><Relationship Id="rId6" Type="http://schemas.openxmlformats.org/officeDocument/2006/relationships/hyperlink" Target="https://www.census2011.co.in/census/city/463-chennai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AA996-8C78-46D0-9D1F-7D075DEBB9E6}">
  <dimension ref="A1:E66"/>
  <sheetViews>
    <sheetView tabSelected="1" topLeftCell="A45" workbookViewId="0">
      <selection activeCell="C65" sqref="C65"/>
    </sheetView>
  </sheetViews>
  <sheetFormatPr defaultRowHeight="14.4" x14ac:dyDescent="0.3"/>
  <cols>
    <col min="2" max="2" width="22.5546875" customWidth="1"/>
    <col min="3" max="3" width="20.88671875" customWidth="1"/>
    <col min="4" max="4" width="34.33203125" customWidth="1"/>
    <col min="5" max="5" width="17.21875" customWidth="1"/>
  </cols>
  <sheetData>
    <row r="1" spans="1:5" ht="29.4" thickBot="1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 spans="1:5" ht="15.6" thickTop="1" thickBot="1" x14ac:dyDescent="0.35">
      <c r="A2" s="4">
        <v>1</v>
      </c>
      <c r="B2" s="5" t="s">
        <v>5</v>
      </c>
      <c r="C2" s="14">
        <v>12442373</v>
      </c>
      <c r="D2" s="15">
        <v>853</v>
      </c>
      <c r="E2" s="15">
        <v>89.73</v>
      </c>
    </row>
    <row r="3" spans="1:5" ht="15" thickBot="1" x14ac:dyDescent="0.35">
      <c r="A3" s="7">
        <v>2</v>
      </c>
      <c r="B3" s="5" t="s">
        <v>6</v>
      </c>
      <c r="C3" s="14">
        <v>11034555</v>
      </c>
      <c r="D3" s="15">
        <v>876</v>
      </c>
      <c r="E3" s="15">
        <v>87.59</v>
      </c>
    </row>
    <row r="4" spans="1:5" ht="15" thickBot="1" x14ac:dyDescent="0.35">
      <c r="A4" s="7">
        <v>3</v>
      </c>
      <c r="B4" s="5" t="s">
        <v>7</v>
      </c>
      <c r="C4" s="14">
        <v>8443675</v>
      </c>
      <c r="D4" s="15">
        <v>923</v>
      </c>
      <c r="E4" s="15">
        <v>88.71</v>
      </c>
    </row>
    <row r="5" spans="1:5" ht="15" thickBot="1" x14ac:dyDescent="0.35">
      <c r="A5" s="7">
        <v>4</v>
      </c>
      <c r="B5" s="5" t="s">
        <v>8</v>
      </c>
      <c r="C5" s="14">
        <v>6731790</v>
      </c>
      <c r="D5" s="15">
        <v>955</v>
      </c>
      <c r="E5" s="15">
        <v>83.26</v>
      </c>
    </row>
    <row r="6" spans="1:5" ht="15" thickBot="1" x14ac:dyDescent="0.35">
      <c r="A6" s="7">
        <v>5</v>
      </c>
      <c r="B6" s="5" t="s">
        <v>9</v>
      </c>
      <c r="C6" s="14">
        <v>5577940</v>
      </c>
      <c r="D6" s="15">
        <v>898</v>
      </c>
      <c r="E6" s="15">
        <v>88.29</v>
      </c>
    </row>
    <row r="7" spans="1:5" ht="15" thickBot="1" x14ac:dyDescent="0.35">
      <c r="A7" s="7">
        <v>6</v>
      </c>
      <c r="B7" s="5" t="s">
        <v>10</v>
      </c>
      <c r="C7" s="14">
        <v>4646732</v>
      </c>
      <c r="D7" s="15">
        <v>989</v>
      </c>
      <c r="E7" s="15">
        <v>90.18</v>
      </c>
    </row>
    <row r="8" spans="1:5" ht="15" thickBot="1" x14ac:dyDescent="0.35">
      <c r="A8" s="7">
        <v>7</v>
      </c>
      <c r="B8" s="5" t="s">
        <v>11</v>
      </c>
      <c r="C8" s="14">
        <v>4496694</v>
      </c>
      <c r="D8" s="15">
        <v>908</v>
      </c>
      <c r="E8" s="15">
        <v>86.31</v>
      </c>
    </row>
    <row r="9" spans="1:5" ht="15" thickBot="1" x14ac:dyDescent="0.35">
      <c r="A9" s="7">
        <v>8</v>
      </c>
      <c r="B9" s="5" t="s">
        <v>12</v>
      </c>
      <c r="C9" s="14">
        <v>4467797</v>
      </c>
      <c r="D9" s="15">
        <v>756</v>
      </c>
      <c r="E9" s="15">
        <v>87.89</v>
      </c>
    </row>
    <row r="10" spans="1:5" ht="15" thickBot="1" x14ac:dyDescent="0.35">
      <c r="A10" s="7">
        <v>9</v>
      </c>
      <c r="B10" s="5" t="s">
        <v>13</v>
      </c>
      <c r="C10" s="14">
        <v>3124458</v>
      </c>
      <c r="D10" s="15">
        <v>948</v>
      </c>
      <c r="E10" s="15">
        <v>89.56</v>
      </c>
    </row>
    <row r="11" spans="1:5" ht="15" thickBot="1" x14ac:dyDescent="0.35">
      <c r="A11" s="7">
        <v>10</v>
      </c>
      <c r="B11" s="5" t="s">
        <v>14</v>
      </c>
      <c r="C11" s="14">
        <v>3046163</v>
      </c>
      <c r="D11" s="15">
        <v>900</v>
      </c>
      <c r="E11" s="15">
        <v>83.33</v>
      </c>
    </row>
    <row r="12" spans="1:5" ht="15" thickBot="1" x14ac:dyDescent="0.35">
      <c r="A12" s="7">
        <v>11</v>
      </c>
      <c r="B12" s="5" t="s">
        <v>15</v>
      </c>
      <c r="C12" s="14">
        <v>2817105</v>
      </c>
      <c r="D12" s="15">
        <v>928</v>
      </c>
      <c r="E12" s="15">
        <v>82.5</v>
      </c>
    </row>
    <row r="13" spans="1:5" ht="15" thickBot="1" x14ac:dyDescent="0.35">
      <c r="A13" s="7">
        <v>12</v>
      </c>
      <c r="B13" s="5" t="s">
        <v>16</v>
      </c>
      <c r="C13" s="14">
        <v>2765348</v>
      </c>
      <c r="D13" s="15">
        <v>857</v>
      </c>
      <c r="E13" s="15">
        <v>82.42</v>
      </c>
    </row>
    <row r="14" spans="1:5" ht="15" thickBot="1" x14ac:dyDescent="0.35">
      <c r="A14" s="7">
        <v>13</v>
      </c>
      <c r="B14" s="5" t="s">
        <v>17</v>
      </c>
      <c r="C14" s="14">
        <v>2405665</v>
      </c>
      <c r="D14" s="15">
        <v>963</v>
      </c>
      <c r="E14" s="15">
        <v>91.92</v>
      </c>
    </row>
    <row r="15" spans="1:5" ht="15" thickBot="1" x14ac:dyDescent="0.35">
      <c r="A15" s="7">
        <v>14</v>
      </c>
      <c r="B15" s="5" t="s">
        <v>18</v>
      </c>
      <c r="C15" s="14">
        <v>1964086</v>
      </c>
      <c r="D15" s="15">
        <v>925</v>
      </c>
      <c r="E15" s="15">
        <v>85.87</v>
      </c>
    </row>
    <row r="16" spans="1:5" ht="15" thickBot="1" x14ac:dyDescent="0.35">
      <c r="A16" s="7">
        <v>15</v>
      </c>
      <c r="B16" s="5" t="s">
        <v>19</v>
      </c>
      <c r="C16" s="14">
        <v>1841488</v>
      </c>
      <c r="D16" s="15">
        <v>888</v>
      </c>
      <c r="E16" s="15">
        <v>89.41</v>
      </c>
    </row>
    <row r="17" spans="1:5" ht="15" thickBot="1" x14ac:dyDescent="0.35">
      <c r="A17" s="7">
        <v>16</v>
      </c>
      <c r="B17" s="5" t="s">
        <v>20</v>
      </c>
      <c r="C17" s="14">
        <v>1798218</v>
      </c>
      <c r="D17" s="15">
        <v>921</v>
      </c>
      <c r="E17" s="15">
        <v>83.47</v>
      </c>
    </row>
    <row r="18" spans="1:5" ht="27" customHeight="1" thickBot="1" x14ac:dyDescent="0.35">
      <c r="A18" s="7">
        <v>17</v>
      </c>
      <c r="B18" s="5" t="s">
        <v>21</v>
      </c>
      <c r="C18" s="14">
        <v>1728128</v>
      </c>
      <c r="D18" s="15">
        <v>978</v>
      </c>
      <c r="E18" s="15">
        <v>81.790000000000006</v>
      </c>
    </row>
    <row r="19" spans="1:5" ht="15" thickBot="1" x14ac:dyDescent="0.35">
      <c r="A19" s="8">
        <v>18</v>
      </c>
      <c r="B19" s="9" t="s">
        <v>22</v>
      </c>
      <c r="C19" s="16">
        <v>1727692</v>
      </c>
      <c r="D19" s="17">
        <v>833</v>
      </c>
      <c r="E19" s="17">
        <v>89.22</v>
      </c>
    </row>
    <row r="20" spans="1:5" ht="15.6" thickTop="1" thickBot="1" x14ac:dyDescent="0.35">
      <c r="A20" s="10">
        <v>19</v>
      </c>
      <c r="B20" s="11" t="s">
        <v>23</v>
      </c>
      <c r="C20" s="18">
        <v>1684222</v>
      </c>
      <c r="D20" s="19">
        <v>885</v>
      </c>
      <c r="E20" s="19">
        <v>83.37</v>
      </c>
    </row>
    <row r="21" spans="1:5" ht="15" thickBot="1" x14ac:dyDescent="0.35">
      <c r="A21" s="7">
        <v>20</v>
      </c>
      <c r="B21" s="5" t="s">
        <v>24</v>
      </c>
      <c r="C21" s="14">
        <v>1670806</v>
      </c>
      <c r="D21" s="15">
        <v>921</v>
      </c>
      <c r="E21" s="15">
        <v>90.63</v>
      </c>
    </row>
    <row r="22" spans="1:5" ht="15" thickBot="1" x14ac:dyDescent="0.35">
      <c r="A22" s="7">
        <v>21</v>
      </c>
      <c r="B22" s="5" t="s">
        <v>25</v>
      </c>
      <c r="C22" s="14">
        <v>1648643</v>
      </c>
      <c r="D22" s="15">
        <v>885</v>
      </c>
      <c r="E22" s="15">
        <v>84.78</v>
      </c>
    </row>
    <row r="23" spans="1:5" ht="15" thickBot="1" x14ac:dyDescent="0.35">
      <c r="A23" s="7">
        <v>22</v>
      </c>
      <c r="B23" s="5" t="s">
        <v>26</v>
      </c>
      <c r="C23" s="14">
        <v>1618879</v>
      </c>
      <c r="D23" s="15">
        <v>850</v>
      </c>
      <c r="E23" s="15">
        <v>85.77</v>
      </c>
    </row>
    <row r="24" spans="1:5" ht="15" thickBot="1" x14ac:dyDescent="0.35">
      <c r="A24" s="7">
        <v>23</v>
      </c>
      <c r="B24" s="5" t="s">
        <v>27</v>
      </c>
      <c r="C24" s="14">
        <v>1585704</v>
      </c>
      <c r="D24" s="15">
        <v>875</v>
      </c>
      <c r="E24" s="15">
        <v>73.11</v>
      </c>
    </row>
    <row r="25" spans="1:5" ht="15" thickBot="1" x14ac:dyDescent="0.35">
      <c r="A25" s="7">
        <v>24</v>
      </c>
      <c r="B25" s="5" t="s">
        <v>28</v>
      </c>
      <c r="C25" s="14">
        <v>1486053</v>
      </c>
      <c r="D25" s="15">
        <v>899</v>
      </c>
      <c r="E25" s="15">
        <v>89.85</v>
      </c>
    </row>
    <row r="26" spans="1:5" ht="15" thickBot="1" x14ac:dyDescent="0.35">
      <c r="A26" s="7">
        <v>25</v>
      </c>
      <c r="B26" s="5" t="s">
        <v>29</v>
      </c>
      <c r="C26" s="14">
        <v>1414050</v>
      </c>
      <c r="D26" s="15">
        <v>874</v>
      </c>
      <c r="E26" s="15">
        <v>83.83</v>
      </c>
    </row>
    <row r="27" spans="1:5" ht="15" thickBot="1" x14ac:dyDescent="0.35">
      <c r="A27" s="7">
        <v>26</v>
      </c>
      <c r="B27" s="5" t="s">
        <v>30</v>
      </c>
      <c r="C27" s="14">
        <v>1305429</v>
      </c>
      <c r="D27" s="15">
        <v>897</v>
      </c>
      <c r="E27" s="15">
        <v>75.66</v>
      </c>
    </row>
    <row r="28" spans="1:5" ht="15" thickBot="1" x14ac:dyDescent="0.35">
      <c r="A28" s="7">
        <v>27</v>
      </c>
      <c r="B28" s="5" t="s">
        <v>31</v>
      </c>
      <c r="C28" s="14">
        <v>1286678</v>
      </c>
      <c r="D28" s="15">
        <v>908</v>
      </c>
      <c r="E28" s="15">
        <v>87.8</v>
      </c>
    </row>
    <row r="29" spans="1:5" ht="15" thickBot="1" x14ac:dyDescent="0.35">
      <c r="A29" s="7">
        <v>28</v>
      </c>
      <c r="B29" s="5" t="s">
        <v>32</v>
      </c>
      <c r="C29" s="14">
        <v>1247327</v>
      </c>
      <c r="D29" s="15">
        <v>920</v>
      </c>
      <c r="E29" s="15">
        <v>91.37</v>
      </c>
    </row>
    <row r="30" spans="1:5" ht="15" thickBot="1" x14ac:dyDescent="0.35">
      <c r="A30" s="7">
        <v>29</v>
      </c>
      <c r="B30" s="5" t="s">
        <v>33</v>
      </c>
      <c r="C30" s="14">
        <v>1222390</v>
      </c>
      <c r="D30" s="15">
        <v>886</v>
      </c>
      <c r="E30" s="15">
        <v>88.57</v>
      </c>
    </row>
    <row r="31" spans="1:5" ht="15" thickBot="1" x14ac:dyDescent="0.35">
      <c r="A31" s="7">
        <v>30</v>
      </c>
      <c r="B31" s="5" t="s">
        <v>34</v>
      </c>
      <c r="C31" s="14">
        <v>1198491</v>
      </c>
      <c r="D31" s="15">
        <v>887</v>
      </c>
      <c r="E31" s="15">
        <v>79.27</v>
      </c>
    </row>
    <row r="32" spans="1:5" ht="15" thickBot="1" x14ac:dyDescent="0.35">
      <c r="A32" s="7">
        <v>31</v>
      </c>
      <c r="B32" s="5" t="s">
        <v>35</v>
      </c>
      <c r="C32" s="14">
        <v>1180570</v>
      </c>
      <c r="D32" s="15">
        <v>908</v>
      </c>
      <c r="E32" s="15">
        <v>69.150000000000006</v>
      </c>
    </row>
    <row r="33" spans="1:5" ht="15" thickBot="1" x14ac:dyDescent="0.35">
      <c r="A33" s="7">
        <v>32</v>
      </c>
      <c r="B33" s="5" t="s">
        <v>36</v>
      </c>
      <c r="C33" s="14">
        <v>1175116</v>
      </c>
      <c r="D33" s="15">
        <v>929</v>
      </c>
      <c r="E33" s="15">
        <v>87.49</v>
      </c>
    </row>
    <row r="34" spans="1:5" ht="15" thickBot="1" x14ac:dyDescent="0.35">
      <c r="A34" s="7">
        <v>33</v>
      </c>
      <c r="B34" s="5" t="s">
        <v>37</v>
      </c>
      <c r="C34" s="14">
        <v>1162472</v>
      </c>
      <c r="D34" s="15">
        <v>891</v>
      </c>
      <c r="E34" s="15">
        <v>79.47</v>
      </c>
    </row>
    <row r="35" spans="1:5" ht="15" thickBot="1" x14ac:dyDescent="0.35">
      <c r="A35" s="7">
        <v>34</v>
      </c>
      <c r="B35" s="5" t="s">
        <v>38</v>
      </c>
      <c r="C35" s="14">
        <v>1132383</v>
      </c>
      <c r="D35" s="15">
        <v>884</v>
      </c>
      <c r="E35" s="15">
        <v>84.19</v>
      </c>
    </row>
    <row r="36" spans="1:5" ht="15" thickBot="1" x14ac:dyDescent="0.35">
      <c r="A36" s="7">
        <v>35</v>
      </c>
      <c r="B36" s="5" t="s">
        <v>39</v>
      </c>
      <c r="C36" s="14">
        <v>1120547</v>
      </c>
      <c r="D36" s="15">
        <v>837</v>
      </c>
      <c r="E36" s="15">
        <v>89.62</v>
      </c>
    </row>
    <row r="37" spans="1:5" ht="15" thickBot="1" x14ac:dyDescent="0.35">
      <c r="A37" s="8">
        <v>36</v>
      </c>
      <c r="B37" s="9" t="s">
        <v>40</v>
      </c>
      <c r="C37" s="16">
        <v>1112544</v>
      </c>
      <c r="D37" s="17">
        <v>853</v>
      </c>
      <c r="E37" s="17">
        <v>84.76</v>
      </c>
    </row>
    <row r="38" spans="1:5" ht="15.6" thickTop="1" thickBot="1" x14ac:dyDescent="0.35">
      <c r="A38" s="10">
        <v>37</v>
      </c>
      <c r="B38" s="11" t="s">
        <v>41</v>
      </c>
      <c r="C38" s="18">
        <v>1077075</v>
      </c>
      <c r="D38" s="19">
        <v>919</v>
      </c>
      <c r="E38" s="19">
        <v>88.71</v>
      </c>
    </row>
    <row r="39" spans="1:5" ht="15" thickBot="1" x14ac:dyDescent="0.35">
      <c r="A39" s="7">
        <v>38</v>
      </c>
      <c r="B39" s="5" t="s">
        <v>42</v>
      </c>
      <c r="C39" s="14">
        <v>1073427</v>
      </c>
      <c r="D39" s="15">
        <v>921</v>
      </c>
      <c r="E39" s="15">
        <v>87.37</v>
      </c>
    </row>
    <row r="40" spans="1:5" ht="15" thickBot="1" x14ac:dyDescent="0.35">
      <c r="A40" s="7">
        <v>39</v>
      </c>
      <c r="B40" s="5" t="s">
        <v>43</v>
      </c>
      <c r="C40" s="14">
        <v>1069276</v>
      </c>
      <c r="D40" s="15">
        <v>879</v>
      </c>
      <c r="E40" s="15">
        <v>84.14</v>
      </c>
    </row>
    <row r="41" spans="1:5" ht="15" thickBot="1" x14ac:dyDescent="0.35">
      <c r="A41" s="7">
        <v>40</v>
      </c>
      <c r="B41" s="5" t="s">
        <v>44</v>
      </c>
      <c r="C41" s="14">
        <v>1055525</v>
      </c>
      <c r="D41" s="15">
        <v>935</v>
      </c>
      <c r="E41" s="15">
        <v>87.39</v>
      </c>
    </row>
    <row r="42" spans="1:5" ht="15" thickBot="1" x14ac:dyDescent="0.35">
      <c r="A42" s="7">
        <v>41</v>
      </c>
      <c r="B42" s="5" t="s">
        <v>45</v>
      </c>
      <c r="C42" s="14">
        <v>1050721</v>
      </c>
      <c r="D42" s="15">
        <v>997</v>
      </c>
      <c r="E42" s="15">
        <v>91.3</v>
      </c>
    </row>
    <row r="43" spans="1:5" ht="15" thickBot="1" x14ac:dyDescent="0.35">
      <c r="A43" s="7">
        <v>42</v>
      </c>
      <c r="B43" s="5" t="s">
        <v>46</v>
      </c>
      <c r="C43" s="14">
        <v>1034358</v>
      </c>
      <c r="D43" s="15">
        <v>995</v>
      </c>
      <c r="E43" s="15">
        <v>81.239999999999995</v>
      </c>
    </row>
    <row r="44" spans="1:5" ht="15" thickBot="1" x14ac:dyDescent="0.35">
      <c r="A44" s="7">
        <v>43</v>
      </c>
      <c r="B44" s="5" t="s">
        <v>47</v>
      </c>
      <c r="C44" s="14">
        <v>1033756</v>
      </c>
      <c r="D44" s="15">
        <v>903</v>
      </c>
      <c r="E44" s="15">
        <v>80.81</v>
      </c>
    </row>
    <row r="45" spans="1:5" ht="15" thickBot="1" x14ac:dyDescent="0.35">
      <c r="A45" s="7">
        <v>44</v>
      </c>
      <c r="B45" s="5" t="s">
        <v>48</v>
      </c>
      <c r="C45" s="14">
        <v>1017865</v>
      </c>
      <c r="D45" s="15">
        <v>999</v>
      </c>
      <c r="E45" s="15">
        <v>90.91</v>
      </c>
    </row>
    <row r="46" spans="1:5" ht="15" thickBot="1" x14ac:dyDescent="0.35">
      <c r="A46" s="7">
        <v>45</v>
      </c>
      <c r="B46" s="5" t="s">
        <v>49</v>
      </c>
      <c r="C46" s="14">
        <v>1010433</v>
      </c>
      <c r="D46" s="15">
        <v>948</v>
      </c>
      <c r="E46" s="15">
        <v>85.95</v>
      </c>
    </row>
    <row r="47" spans="1:5" ht="15" thickBot="1" x14ac:dyDescent="0.35">
      <c r="A47" s="7">
        <v>46</v>
      </c>
      <c r="B47" s="5" t="s">
        <v>50</v>
      </c>
      <c r="C47" s="14">
        <v>1001694</v>
      </c>
      <c r="D47" s="15">
        <v>895</v>
      </c>
      <c r="E47" s="15">
        <v>82.8</v>
      </c>
    </row>
    <row r="48" spans="1:5" ht="15" thickBot="1" x14ac:dyDescent="0.35">
      <c r="A48" s="7">
        <v>47</v>
      </c>
      <c r="B48" s="5" t="s">
        <v>51</v>
      </c>
      <c r="C48" s="20">
        <v>961587</v>
      </c>
      <c r="D48" s="15">
        <v>829</v>
      </c>
      <c r="E48" s="15">
        <v>86.42</v>
      </c>
    </row>
    <row r="49" spans="1:5" ht="15" thickBot="1" x14ac:dyDescent="0.35">
      <c r="A49" s="7">
        <v>48</v>
      </c>
      <c r="B49" s="5" t="s">
        <v>52</v>
      </c>
      <c r="C49" s="20">
        <v>957352</v>
      </c>
      <c r="D49" s="15">
        <v>933</v>
      </c>
      <c r="E49" s="15">
        <v>91.47</v>
      </c>
    </row>
    <row r="50" spans="1:5" ht="15" thickBot="1" x14ac:dyDescent="0.35">
      <c r="A50" s="7">
        <v>49</v>
      </c>
      <c r="B50" s="5" t="s">
        <v>53</v>
      </c>
      <c r="C50" s="20">
        <v>951558</v>
      </c>
      <c r="D50" s="15">
        <v>978</v>
      </c>
      <c r="E50" s="15">
        <v>82.8</v>
      </c>
    </row>
    <row r="51" spans="1:5" ht="33" customHeight="1" thickBot="1" x14ac:dyDescent="0.35">
      <c r="A51" s="8">
        <v>50</v>
      </c>
      <c r="B51" s="9" t="s">
        <v>54</v>
      </c>
      <c r="C51" s="21">
        <v>943788</v>
      </c>
      <c r="D51" s="17">
        <v>989</v>
      </c>
      <c r="E51" s="17">
        <v>86.79</v>
      </c>
    </row>
    <row r="52" spans="1:5" x14ac:dyDescent="0.3">
      <c r="A52" s="12"/>
    </row>
    <row r="54" spans="1:5" x14ac:dyDescent="0.3">
      <c r="B54" t="s">
        <v>55</v>
      </c>
      <c r="C54" s="6">
        <f>SUM(C2:C51)</f>
        <v>119550626</v>
      </c>
      <c r="D54" s="6">
        <f>SUM(D2:D51)</f>
        <v>45408</v>
      </c>
      <c r="E54" s="6">
        <f>SUM(E2:E51)</f>
        <v>4278.24</v>
      </c>
    </row>
    <row r="55" spans="1:5" x14ac:dyDescent="0.3">
      <c r="B55" t="s">
        <v>56</v>
      </c>
      <c r="C55" s="13">
        <f>C54/50</f>
        <v>2391012.52</v>
      </c>
      <c r="D55" s="13">
        <f t="shared" ref="D55:E55" si="0">D54/50</f>
        <v>908.16</v>
      </c>
      <c r="E55" s="13">
        <f t="shared" si="0"/>
        <v>85.564799999999991</v>
      </c>
    </row>
    <row r="56" spans="1:5" x14ac:dyDescent="0.3">
      <c r="B56" t="s">
        <v>57</v>
      </c>
      <c r="C56" s="13">
        <f>((1305429+1414050)/2)</f>
        <v>1359739.5</v>
      </c>
      <c r="D56" s="13">
        <f>((903+908)/2)</f>
        <v>905.5</v>
      </c>
      <c r="E56" s="13">
        <f>((86.31+86.42)/2)</f>
        <v>86.365000000000009</v>
      </c>
    </row>
    <row r="57" spans="1:5" x14ac:dyDescent="0.3">
      <c r="B57" t="s">
        <v>58</v>
      </c>
      <c r="C57" s="13" t="s">
        <v>59</v>
      </c>
      <c r="D57" s="6" t="s">
        <v>60</v>
      </c>
      <c r="E57" s="13" t="s">
        <v>61</v>
      </c>
    </row>
    <row r="58" spans="1:5" x14ac:dyDescent="0.3">
      <c r="B58" t="s">
        <v>62</v>
      </c>
      <c r="C58" s="13">
        <v>6225293599724.0898</v>
      </c>
      <c r="D58" s="13">
        <v>2419.4</v>
      </c>
      <c r="E58" s="13">
        <v>22.35</v>
      </c>
    </row>
    <row r="59" spans="1:5" x14ac:dyDescent="0.3">
      <c r="B59" t="s">
        <v>63</v>
      </c>
      <c r="C59" s="13">
        <f>SQRT(C58)</f>
        <v>2495053.8270193869</v>
      </c>
      <c r="D59" s="13">
        <f t="shared" ref="D59:E59" si="1">SQRT(D58)</f>
        <v>49.18739675973918</v>
      </c>
      <c r="E59" s="13">
        <f t="shared" si="1"/>
        <v>4.7275786614291251</v>
      </c>
    </row>
    <row r="60" spans="1:5" x14ac:dyDescent="0.3">
      <c r="B60" t="s">
        <v>64</v>
      </c>
      <c r="C60" s="13">
        <v>46</v>
      </c>
      <c r="D60" s="13">
        <v>42</v>
      </c>
      <c r="E60" s="13">
        <v>47</v>
      </c>
    </row>
    <row r="61" spans="1:5" x14ac:dyDescent="0.3">
      <c r="B61" t="s">
        <v>65</v>
      </c>
      <c r="C61" s="13">
        <f>C60/50</f>
        <v>0.92</v>
      </c>
      <c r="D61" s="13">
        <f t="shared" ref="D61:E61" si="2">D60/50</f>
        <v>0.84</v>
      </c>
      <c r="E61" s="13">
        <f t="shared" si="2"/>
        <v>0.94</v>
      </c>
    </row>
    <row r="62" spans="1:5" x14ac:dyDescent="0.3">
      <c r="B62" t="s">
        <v>66</v>
      </c>
      <c r="C62" s="13">
        <f>1-(49/(50*1.5*1.5))</f>
        <v>0.56444444444444453</v>
      </c>
      <c r="D62" s="13">
        <f t="shared" ref="D62:E62" si="3">1-(49/(50*1.5*1.5))</f>
        <v>0.56444444444444453</v>
      </c>
      <c r="E62" s="13">
        <f t="shared" si="3"/>
        <v>0.56444444444444453</v>
      </c>
    </row>
    <row r="63" spans="1:5" x14ac:dyDescent="0.3">
      <c r="B63" t="s">
        <v>67</v>
      </c>
      <c r="C63" s="13">
        <v>0.55000000000000004</v>
      </c>
      <c r="D63" s="13">
        <v>0.55000000000000004</v>
      </c>
      <c r="E63" s="13">
        <v>0.55000000000000004</v>
      </c>
    </row>
    <row r="64" spans="1:5" x14ac:dyDescent="0.3">
      <c r="C64" s="13"/>
      <c r="D64" s="13"/>
      <c r="E64" s="13"/>
    </row>
    <row r="65" spans="2:3" x14ac:dyDescent="0.3">
      <c r="B65" t="s">
        <v>68</v>
      </c>
      <c r="C65">
        <f>-876857454.159999/(49*C59*D59)</f>
        <v>-0.14581397884458711</v>
      </c>
    </row>
    <row r="66" spans="2:3" x14ac:dyDescent="0.3">
      <c r="B66" t="s">
        <v>69</v>
      </c>
      <c r="C66">
        <f>1189.2216/(49*D59*E59)</f>
        <v>0.10436962110388848</v>
      </c>
    </row>
  </sheetData>
  <autoFilter ref="A1:E1" xr:uid="{A69AA996-8C78-46D0-9D1F-7D075DEBB9E6}">
    <sortState xmlns:xlrd2="http://schemas.microsoft.com/office/spreadsheetml/2017/richdata2" ref="A2:E51">
      <sortCondition ref="A1"/>
    </sortState>
  </autoFilter>
  <hyperlinks>
    <hyperlink ref="B2" r:id="rId1" display="https://www.census2011.co.in/census/city/365-mumbai.html" xr:uid="{F0F8576B-A75A-4670-B3D4-9C17BE8AB17E}"/>
    <hyperlink ref="B3" r:id="rId2" display="https://www.census2011.co.in/census/city/49-delhi.html" xr:uid="{937DA49F-1886-47B7-AD4E-8F74CAA0EDD7}"/>
    <hyperlink ref="B4" r:id="rId3" display="https://www.census2011.co.in/census/city/448-bangalore.html" xr:uid="{32DD81F9-0838-4D02-B05F-1339591A43CB}"/>
    <hyperlink ref="B5" r:id="rId4" display="https://www.census2011.co.in/census/city/392-hyderabad.html" xr:uid="{06C101CE-63F0-4DF2-A690-127C041D36BA}"/>
    <hyperlink ref="B6" r:id="rId5" display="https://www.census2011.co.in/census/city/314-ahmedabad.html" xr:uid="{74FEE98C-8E85-4D72-8164-D80FFFA206ED}"/>
    <hyperlink ref="B7" r:id="rId6" display="https://www.census2011.co.in/census/city/463-chennai.html" xr:uid="{4C72FED5-6D33-4705-BB2A-37196B2464D9}"/>
    <hyperlink ref="B8" r:id="rId7" display="https://www.census2011.co.in/census/city/215-kolkata.html" xr:uid="{C4CE2E5F-127F-49F0-8AE5-1D07EF8E0AFF}"/>
    <hyperlink ref="B9" r:id="rId8" display="https://www.census2011.co.in/census/city/343-surat.html" xr:uid="{3CBFDB59-C411-4D7D-829F-96BF151B88AC}"/>
    <hyperlink ref="B10" r:id="rId9" display="https://www.census2011.co.in/census/city/375-pune.html" xr:uid="{FF2A1723-F13F-4572-AB69-057B8E1C17AD}"/>
    <hyperlink ref="B11" r:id="rId10" display="https://www.census2011.co.in/census/city/77-jaipur.html" xr:uid="{D9002896-2231-4130-9285-CF49CAD17E39}"/>
    <hyperlink ref="B12" r:id="rId11" display="https://www.census2011.co.in/census/city/127-lucknow.html" xr:uid="{FBBE692F-FF3C-4A1F-BEF4-E00CE176D6A1}"/>
    <hyperlink ref="B13" r:id="rId12" display="https://www.census2011.co.in/census/city/131-kanpur.html" xr:uid="{AEA283BA-6093-4140-BC5D-93A24ED55FD8}"/>
    <hyperlink ref="B14" r:id="rId13" display="https://www.census2011.co.in/census/city/353-nagpur.html" xr:uid="{60716D12-557B-4686-A91C-9E4A95123998}"/>
    <hyperlink ref="B15" r:id="rId14" display="https://www.census2011.co.in/census/city/299-indore.html" xr:uid="{FC0F0C41-6EF5-43B5-8AC7-BC68AE1291BD}"/>
    <hyperlink ref="B16" r:id="rId15" display="https://www.census2011.co.in/census/city/367-thane.html" xr:uid="{1BB3C49E-D494-4C28-8C69-3143098532E5}"/>
    <hyperlink ref="B17" r:id="rId16" display="https://www.census2011.co.in/census/city/302-bhopal.html" xr:uid="{154962B6-454F-4A9F-AFD3-02AE66EFC2A6}"/>
    <hyperlink ref="B18" r:id="rId17" display="https://www.census2011.co.in/census/city/402-visakhapatnam.html" xr:uid="{E7DDF694-676D-43BC-99FD-9F3D144C1F72}"/>
    <hyperlink ref="B19" r:id="rId18" display="https://www.census2011.co.in/census/city/376-pimpri-and-chinchwad.html" xr:uid="{79600FD3-297E-46BC-9C3F-46C77E5DD44B}"/>
    <hyperlink ref="B20" r:id="rId19" display="https://www.census2011.co.in/census/city/174-patna.html" xr:uid="{250FB117-29AC-4969-BFCE-B067C5F84758}"/>
    <hyperlink ref="B21" r:id="rId20" display="https://www.census2011.co.in/census/city/338-vadodara.html" xr:uid="{242725CC-82AB-4926-B6B9-638EE9F9BB4A}"/>
    <hyperlink ref="B22" r:id="rId21" display="https://www.census2011.co.in/census/city/105-ghaziabad.html" xr:uid="{0122BBF6-116A-42F8-948F-678943C0BFBD}"/>
    <hyperlink ref="B23" r:id="rId22" display="https://www.census2011.co.in/census/city/11-ludhiana.html" xr:uid="{AB73D296-AA4C-41EA-B717-B6697A8C7F4F}"/>
    <hyperlink ref="B24" r:id="rId23" display="https://www.census2011.co.in/census/city/115-agra.html" xr:uid="{54C9BD60-0A4B-4305-AB4B-618626E22A60}"/>
    <hyperlink ref="B25" r:id="rId24" display="https://www.census2011.co.in/census/city/361-nashik.html" xr:uid="{3358E527-0D87-47ED-B02F-B5FFFE594E8A}"/>
    <hyperlink ref="B26" r:id="rId25" display="https://www.census2011.co.in/census/city/47-faridabad.html" xr:uid="{552C6709-06DC-4B7C-9EDC-D45659B3B26C}"/>
    <hyperlink ref="B27" r:id="rId26" display="https://www.census2011.co.in/census/city/101-meerut.html" xr:uid="{40507F7B-1CA6-41BC-9CE0-21F4C24C81D4}"/>
    <hyperlink ref="B28" r:id="rId27" display="https://www.census2011.co.in/census/city/325-rajkot.html" xr:uid="{534B4025-C61C-475B-AFC7-0AC8AAAAE2E5}"/>
    <hyperlink ref="B29" r:id="rId28" display="https://www.census2011.co.in/census/city/369-kalyan-and-dombivali.html" xr:uid="{5EFB8220-ABEE-49F5-A573-77368DB60502}"/>
    <hyperlink ref="B30" r:id="rId29" display="https://www.census2011.co.in/census/city/363-vasai-virar.html" xr:uid="{B6DF71EA-7683-471D-BA2D-8EAD7720C932}"/>
    <hyperlink ref="B31" r:id="rId30" display="https://www.census2011.co.in/census/city/153-varanasi.html" xr:uid="{8AD46E20-C3A4-46A6-8815-02058BE8FD28}"/>
    <hyperlink ref="B32" r:id="rId31" display="https://www.census2011.co.in/census/city/1-srinagar.html" xr:uid="{80712695-89EA-40C2-9EDD-063373645282}"/>
    <hyperlink ref="B33" r:id="rId32" display="https://www.census2011.co.in/census/city/360-aurangabad.html" xr:uid="{AE0B398E-1A1E-4B52-8981-1996BE94D717}"/>
    <hyperlink ref="B34" r:id="rId33" display="https://www.census2011.co.in/census/city/255-dhanbad.html" xr:uid="{CEF4C51D-AFC4-4C03-B40D-3475750A7823}"/>
    <hyperlink ref="B35" r:id="rId34" display="https://www.census2011.co.in/census/city/18-amritsar.html" xr:uid="{2DAA3060-31D0-496D-9D91-DD4241C5BF10}"/>
    <hyperlink ref="B36" r:id="rId35" display="https://www.census2011.co.in/census/city/368-navi-mumbai.html" xr:uid="{79934F19-34EC-4ACF-B212-C9F92D1AA915}"/>
    <hyperlink ref="B37" r:id="rId36" display="https://www.census2011.co.in/census/city/138-allahabad.html" xr:uid="{98806ABF-B434-4067-84F4-3483BE3EF101}"/>
    <hyperlink ref="B38" r:id="rId37" display="https://www.census2011.co.in/census/city/246-haora.html" xr:uid="{CA9DE861-D2FF-4A1D-A044-A816953E381F}"/>
    <hyperlink ref="B39" r:id="rId38" display="https://www.census2011.co.in/census/city/261-ranchi.html" xr:uid="{B5AB6F53-D6A3-4267-BF91-2529CB17D00E}"/>
    <hyperlink ref="B40" r:id="rId39" display="https://www.census2011.co.in/census/city/284-gwalior.html" xr:uid="{E7133228-4FDB-4864-9186-1E995B75F473}"/>
    <hyperlink ref="B41" r:id="rId40" display="https://www.census2011.co.in/census/city/307-jabalpur.html" xr:uid="{D41064A6-48CE-40BB-BD20-BA75E5FC6E50}"/>
    <hyperlink ref="B42" r:id="rId41" display="https://www.census2011.co.in/census/city/492-coimbatore.html" xr:uid="{9C690F2F-1007-42DC-8E51-F815BBCF7121}"/>
    <hyperlink ref="B43" r:id="rId42" display="https://www.census2011.co.in/census/city/408-vijayawada.html" xr:uid="{1EE50881-2A79-46B9-9C17-F80C3A251175}"/>
    <hyperlink ref="B44" r:id="rId43" display="https://www.census2011.co.in/census/city/80-jodhpur.html" xr:uid="{CA92DC1E-C36D-4342-8D29-12FC1C5CF547}"/>
    <hyperlink ref="B45" r:id="rId44" display="https://www.census2011.co.in/census/city/486-madurai.html" xr:uid="{F3958D5B-EEDD-4ACE-85BA-52EAD819F7F5}"/>
    <hyperlink ref="B46" r:id="rId45" display="https://www.census2011.co.in/census/city/280-raipur.html" xr:uid="{C7EEAC35-06E9-4FC8-9B41-230356145113}"/>
    <hyperlink ref="B47" r:id="rId46" display="https://www.census2011.co.in/census/city/90-kota.html" xr:uid="{22061538-D92F-4BEE-9E8B-036BD3BB0C6F}"/>
    <hyperlink ref="B48" r:id="rId47" display="https://www.census2011.co.in/census/city/22-chandigarh.html" xr:uid="{DAD7FEEC-8659-437D-BE83-88069F282B3E}"/>
    <hyperlink ref="B49" r:id="rId48" display="https://www.census2011.co.in/census/city/191-guwahati.html" xr:uid="{8069FCFF-8B0A-4466-B571-185B5DCAE898}"/>
    <hyperlink ref="B50" r:id="rId49" display="https://www.census2011.co.in/census/city/383-solapur.html" xr:uid="{CA6E2DFC-9F3C-4181-87BD-6713B5617208}"/>
    <hyperlink ref="B51" r:id="rId50" display="https://www.census2011.co.in/census/city/437-hubli-and-dharwad-.html" xr:uid="{4515E983-CC42-43E9-AAD4-D667542E1FDF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Thomas</dc:creator>
  <cp:lastModifiedBy>Nikhil Thomas</cp:lastModifiedBy>
  <dcterms:created xsi:type="dcterms:W3CDTF">2024-01-31T10:19:57Z</dcterms:created>
  <dcterms:modified xsi:type="dcterms:W3CDTF">2024-01-31T16:36:23Z</dcterms:modified>
</cp:coreProperties>
</file>